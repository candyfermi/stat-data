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409\Desktop\"/>
    </mc:Choice>
  </mc:AlternateContent>
  <xr:revisionPtr revIDLastSave="0" documentId="8_{87B7F069-3E2F-4E63-86AE-BA5A03CFFD85}" xr6:coauthVersionLast="45" xr6:coauthVersionMax="45" xr10:uidLastSave="{00000000-0000-0000-0000-000000000000}"/>
  <bookViews>
    <workbookView xWindow="-120" yWindow="-120" windowWidth="29040" windowHeight="16440" xr2:uid="{98D4B4D9-17BA-4534-98B8-23B905FC0669}"/>
  </bookViews>
  <sheets>
    <sheet name="原始数据" sheetId="1" r:id="rId1"/>
    <sheet name="舍弃离群值的数据" sheetId="3" r:id="rId2"/>
    <sheet name="原始数据分析" sheetId="7" r:id="rId3"/>
    <sheet name="舍弃离群值的数据分析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3" l="1"/>
  <c r="H1" i="1"/>
  <c r="H2" i="3"/>
  <c r="H2" i="1"/>
  <c r="G31" i="3"/>
  <c r="D31" i="3"/>
  <c r="G30" i="3"/>
  <c r="D30" i="3"/>
  <c r="G29" i="3"/>
  <c r="D29" i="3"/>
  <c r="G28" i="3"/>
  <c r="D28" i="3"/>
  <c r="G27" i="3"/>
  <c r="D27" i="3"/>
  <c r="G26" i="3"/>
  <c r="D26" i="3"/>
  <c r="G25" i="3"/>
  <c r="D25" i="3"/>
  <c r="G24" i="3"/>
  <c r="D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G4" i="3"/>
  <c r="D4" i="3"/>
  <c r="G3" i="3"/>
  <c r="D3" i="3"/>
  <c r="G2" i="3"/>
  <c r="D2" i="3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G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D2" i="1"/>
</calcChain>
</file>

<file path=xl/sharedStrings.xml><?xml version="1.0" encoding="utf-8"?>
<sst xmlns="http://schemas.openxmlformats.org/spreadsheetml/2006/main" count="145" uniqueCount="58">
  <si>
    <t>地区</t>
    <phoneticPr fontId="1" type="noConversion"/>
  </si>
  <si>
    <t>2019年末常住人口（万人）</t>
    <phoneticPr fontId="1" type="noConversion"/>
  </si>
  <si>
    <t>新冠肺炎感染人数</t>
    <phoneticPr fontId="1" type="noConversion"/>
  </si>
  <si>
    <t>河北省</t>
    <phoneticPr fontId="1" type="noConversion"/>
  </si>
  <si>
    <t>山西省</t>
    <phoneticPr fontId="1" type="noConversion"/>
  </si>
  <si>
    <t>辽宁省</t>
    <phoneticPr fontId="1" type="noConversion"/>
  </si>
  <si>
    <t>吉林省</t>
    <phoneticPr fontId="1" type="noConversion"/>
  </si>
  <si>
    <t>江苏省</t>
    <phoneticPr fontId="1" type="noConversion"/>
  </si>
  <si>
    <t>浙江省</t>
    <phoneticPr fontId="1" type="noConversion"/>
  </si>
  <si>
    <t>安徽省</t>
    <phoneticPr fontId="1" type="noConversion"/>
  </si>
  <si>
    <t>福建省</t>
    <phoneticPr fontId="1" type="noConversion"/>
  </si>
  <si>
    <t>江西省</t>
    <phoneticPr fontId="1" type="noConversion"/>
  </si>
  <si>
    <t>山东省</t>
    <phoneticPr fontId="1" type="noConversion"/>
  </si>
  <si>
    <t>河南省</t>
    <phoneticPr fontId="1" type="noConversion"/>
  </si>
  <si>
    <t>湖北省</t>
    <phoneticPr fontId="1" type="noConversion"/>
  </si>
  <si>
    <t>湖南省</t>
    <phoneticPr fontId="1" type="noConversion"/>
  </si>
  <si>
    <t>广东省</t>
    <phoneticPr fontId="1" type="noConversion"/>
  </si>
  <si>
    <t>海南省</t>
    <phoneticPr fontId="1" type="noConversion"/>
  </si>
  <si>
    <t>四川省</t>
    <phoneticPr fontId="1" type="noConversion"/>
  </si>
  <si>
    <t>贵州省</t>
    <phoneticPr fontId="1" type="noConversion"/>
  </si>
  <si>
    <t>云南省</t>
    <phoneticPr fontId="1" type="noConversion"/>
  </si>
  <si>
    <t>陕西省</t>
    <phoneticPr fontId="1" type="noConversion"/>
  </si>
  <si>
    <t>甘肃省</t>
    <phoneticPr fontId="1" type="noConversion"/>
  </si>
  <si>
    <t>青海省</t>
    <phoneticPr fontId="1" type="noConversion"/>
  </si>
  <si>
    <t>黑龙江省</t>
    <phoneticPr fontId="1" type="noConversion"/>
  </si>
  <si>
    <t>北京市</t>
    <phoneticPr fontId="1" type="noConversion"/>
  </si>
  <si>
    <t>上海市</t>
    <phoneticPr fontId="1" type="noConversion"/>
  </si>
  <si>
    <t>天津市</t>
    <phoneticPr fontId="1" type="noConversion"/>
  </si>
  <si>
    <t>重庆市</t>
    <phoneticPr fontId="1" type="noConversion"/>
  </si>
  <si>
    <t>广西壮族自治区</t>
    <phoneticPr fontId="1" type="noConversion"/>
  </si>
  <si>
    <t>宁夏回族自治区</t>
    <phoneticPr fontId="1" type="noConversion"/>
  </si>
  <si>
    <t>内蒙古自治区</t>
    <phoneticPr fontId="1" type="noConversion"/>
  </si>
  <si>
    <t>西藏自治区</t>
    <phoneticPr fontId="1" type="noConversion"/>
  </si>
  <si>
    <t>新疆维吾尔自治区</t>
    <phoneticPr fontId="1" type="noConversion"/>
  </si>
  <si>
    <t>感染率（人/万人）</t>
    <phoneticPr fontId="1" type="noConversion"/>
  </si>
  <si>
    <t>2020前三季度同比GDP增速（%）</t>
    <phoneticPr fontId="1" type="noConversion"/>
  </si>
  <si>
    <t>2019年同比GDP增速（%）</t>
    <phoneticPr fontId="1" type="noConversion"/>
  </si>
  <si>
    <t>平均</t>
  </si>
  <si>
    <t>标准误差</t>
  </si>
  <si>
    <t>中位数</t>
  </si>
  <si>
    <t>众数</t>
  </si>
  <si>
    <t>标准差</t>
  </si>
  <si>
    <t>方差</t>
  </si>
  <si>
    <t>峰度</t>
  </si>
  <si>
    <t>偏度</t>
  </si>
  <si>
    <t>区域</t>
  </si>
  <si>
    <t>最小值</t>
  </si>
  <si>
    <t>最大值</t>
  </si>
  <si>
    <t>求和</t>
  </si>
  <si>
    <t>观测数</t>
  </si>
  <si>
    <t>最大(1)</t>
  </si>
  <si>
    <t>最小(1)</t>
  </si>
  <si>
    <t>置信度(95.0%)</t>
  </si>
  <si>
    <t>GDP增速改变量（%）</t>
    <phoneticPr fontId="1" type="noConversion"/>
  </si>
  <si>
    <t>2019年度同比GDP增速（%）</t>
    <phoneticPr fontId="1" type="noConversion"/>
  </si>
  <si>
    <t>GDP增速改变量</t>
    <phoneticPr fontId="1" type="noConversion"/>
  </si>
  <si>
    <t>感染率</t>
    <phoneticPr fontId="1" type="noConversion"/>
  </si>
  <si>
    <t>相关系数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</si>
</sst>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409718316565601E-2"/>
          <c:y val="3.1561058509346929E-2"/>
          <c:w val="0.91306762351397497"/>
          <c:h val="0.9064093226511289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原始数据!$D$2:$D$32</c:f>
              <c:numCache>
                <c:formatCode>General</c:formatCode>
                <c:ptCount val="31"/>
                <c:pt idx="0">
                  <c:v>0.44428969359331477</c:v>
                </c:pt>
                <c:pt idx="1">
                  <c:v>0.58401976935749589</c:v>
                </c:pt>
                <c:pt idx="2">
                  <c:v>0.1939820742637644</c:v>
                </c:pt>
                <c:pt idx="3">
                  <c:v>0.18886043533930857</c:v>
                </c:pt>
                <c:pt idx="4">
                  <c:v>4.9130663856691251E-2</c:v>
                </c:pt>
                <c:pt idx="5">
                  <c:v>5.9533386967015288E-2</c:v>
                </c:pt>
                <c:pt idx="6">
                  <c:v>6.640625E-2</c:v>
                </c:pt>
                <c:pt idx="7">
                  <c:v>5.8342623560014864E-2</c:v>
                </c:pt>
                <c:pt idx="8">
                  <c:v>8.4758364312267659E-2</c:v>
                </c:pt>
                <c:pt idx="9">
                  <c:v>0.2217094017094017</c:v>
                </c:pt>
                <c:pt idx="10">
                  <c:v>0.15582783537543199</c:v>
                </c:pt>
                <c:pt idx="11">
                  <c:v>0.12660458092121823</c:v>
                </c:pt>
                <c:pt idx="12">
                  <c:v>0.20038576939562794</c:v>
                </c:pt>
                <c:pt idx="13">
                  <c:v>8.530287984111222E-2</c:v>
                </c:pt>
                <c:pt idx="14">
                  <c:v>0.13433609958506224</c:v>
                </c:pt>
                <c:pt idx="15">
                  <c:v>11.498059726674541</c:v>
                </c:pt>
                <c:pt idx="16">
                  <c:v>0.14744145706851691</c:v>
                </c:pt>
                <c:pt idx="17">
                  <c:v>0.17541880045134972</c:v>
                </c:pt>
                <c:pt idx="18">
                  <c:v>0.18095238095238095</c:v>
                </c:pt>
                <c:pt idx="19">
                  <c:v>0.10005970149253732</c:v>
                </c:pt>
                <c:pt idx="20">
                  <c:v>4.0574109853712396E-2</c:v>
                </c:pt>
                <c:pt idx="21">
                  <c:v>4.6521202140798683E-2</c:v>
                </c:pt>
                <c:pt idx="22">
                  <c:v>0.12951496388028896</c:v>
                </c:pt>
                <c:pt idx="23">
                  <c:v>6.8757083490744234E-2</c:v>
                </c:pt>
                <c:pt idx="24">
                  <c:v>2.9605263157894735E-2</c:v>
                </c:pt>
                <c:pt idx="25">
                  <c:v>0.25593175153292458</c:v>
                </c:pt>
                <c:pt idx="26">
                  <c:v>5.32258064516129E-2</c:v>
                </c:pt>
                <c:pt idx="27">
                  <c:v>0.1079136690647482</c:v>
                </c:pt>
                <c:pt idx="28">
                  <c:v>0.13464566929133859</c:v>
                </c:pt>
                <c:pt idx="29">
                  <c:v>2.8490028490028491E-3</c:v>
                </c:pt>
                <c:pt idx="30">
                  <c:v>0.38842647641696393</c:v>
                </c:pt>
              </c:numCache>
            </c:numRef>
          </c:xVal>
          <c:yVal>
            <c:numRef>
              <c:f>原始数据!$G$2:$G$32</c:f>
              <c:numCache>
                <c:formatCode>General</c:formatCode>
                <c:ptCount val="31"/>
                <c:pt idx="0">
                  <c:v>-6</c:v>
                </c:pt>
                <c:pt idx="1">
                  <c:v>-6.3</c:v>
                </c:pt>
                <c:pt idx="2">
                  <c:v>-4.8</c:v>
                </c:pt>
                <c:pt idx="3">
                  <c:v>-3.6999999999999997</c:v>
                </c:pt>
                <c:pt idx="4">
                  <c:v>-5.3</c:v>
                </c:pt>
                <c:pt idx="5">
                  <c:v>-4.9000000000000004</c:v>
                </c:pt>
                <c:pt idx="6">
                  <c:v>-6.6</c:v>
                </c:pt>
                <c:pt idx="7">
                  <c:v>-1.5</c:v>
                </c:pt>
                <c:pt idx="8">
                  <c:v>-3.5999999999999996</c:v>
                </c:pt>
                <c:pt idx="9">
                  <c:v>-4.5</c:v>
                </c:pt>
                <c:pt idx="10">
                  <c:v>-5</c:v>
                </c:pt>
                <c:pt idx="11">
                  <c:v>-5.1999999999999993</c:v>
                </c:pt>
                <c:pt idx="12">
                  <c:v>-5.5</c:v>
                </c:pt>
                <c:pt idx="13">
                  <c:v>-3.6</c:v>
                </c:pt>
                <c:pt idx="14">
                  <c:v>-6.5</c:v>
                </c:pt>
                <c:pt idx="15">
                  <c:v>-17.899999999999999</c:v>
                </c:pt>
                <c:pt idx="16">
                  <c:v>-5</c:v>
                </c:pt>
                <c:pt idx="17">
                  <c:v>-5.5</c:v>
                </c:pt>
                <c:pt idx="18">
                  <c:v>-4.6999999999999993</c:v>
                </c:pt>
                <c:pt idx="19">
                  <c:v>-5.0999999999999996</c:v>
                </c:pt>
                <c:pt idx="20">
                  <c:v>-5.1000000000000005</c:v>
                </c:pt>
                <c:pt idx="21">
                  <c:v>-5.3999999999999995</c:v>
                </c:pt>
                <c:pt idx="22">
                  <c:v>-4.8</c:v>
                </c:pt>
                <c:pt idx="23">
                  <c:v>-3.4000000000000004</c:v>
                </c:pt>
                <c:pt idx="24">
                  <c:v>-5.0999999999999996</c:v>
                </c:pt>
                <c:pt idx="25">
                  <c:v>-6.1</c:v>
                </c:pt>
                <c:pt idx="26">
                  <c:v>-4</c:v>
                </c:pt>
                <c:pt idx="27">
                  <c:v>-3.9</c:v>
                </c:pt>
                <c:pt idx="28">
                  <c:v>-7.1</c:v>
                </c:pt>
                <c:pt idx="29">
                  <c:v>-1.7999999999999998</c:v>
                </c:pt>
                <c:pt idx="30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0-4D0A-BD4E-5648185E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161648"/>
        <c:axId val="322160400"/>
      </c:scatterChart>
      <c:valAx>
        <c:axId val="32216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感染率（人</a:t>
                </a:r>
                <a:r>
                  <a:rPr lang="en-US" altLang="zh-CN"/>
                  <a:t>/</a:t>
                </a:r>
                <a:r>
                  <a:rPr lang="zh-CN" altLang="en-US"/>
                  <a:t>万人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2160400"/>
        <c:crosses val="autoZero"/>
        <c:crossBetween val="midCat"/>
      </c:valAx>
      <c:valAx>
        <c:axId val="32216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GDP</a:t>
                </a:r>
                <a:r>
                  <a:rPr lang="zh-CN" altLang="en-US"/>
                  <a:t>增速改变量（</a:t>
                </a:r>
                <a:r>
                  <a:rPr lang="en-US" altLang="zh-CN"/>
                  <a:t>%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216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舍弃离群值的数据!$D$2:$D$31</c:f>
              <c:numCache>
                <c:formatCode>General</c:formatCode>
                <c:ptCount val="30"/>
                <c:pt idx="0">
                  <c:v>0.44428969359331477</c:v>
                </c:pt>
                <c:pt idx="1">
                  <c:v>0.58401976935749589</c:v>
                </c:pt>
                <c:pt idx="2">
                  <c:v>0.1939820742637644</c:v>
                </c:pt>
                <c:pt idx="3">
                  <c:v>0.18886043533930857</c:v>
                </c:pt>
                <c:pt idx="4">
                  <c:v>4.9130663856691251E-2</c:v>
                </c:pt>
                <c:pt idx="5">
                  <c:v>5.9533386967015288E-2</c:v>
                </c:pt>
                <c:pt idx="6">
                  <c:v>6.640625E-2</c:v>
                </c:pt>
                <c:pt idx="7">
                  <c:v>5.8342623560014864E-2</c:v>
                </c:pt>
                <c:pt idx="8">
                  <c:v>8.4758364312267659E-2</c:v>
                </c:pt>
                <c:pt idx="9">
                  <c:v>0.2217094017094017</c:v>
                </c:pt>
                <c:pt idx="10">
                  <c:v>0.15582783537543199</c:v>
                </c:pt>
                <c:pt idx="11">
                  <c:v>0.12660458092121823</c:v>
                </c:pt>
                <c:pt idx="12">
                  <c:v>0.20038576939562794</c:v>
                </c:pt>
                <c:pt idx="13">
                  <c:v>8.530287984111222E-2</c:v>
                </c:pt>
                <c:pt idx="14">
                  <c:v>0.13433609958506224</c:v>
                </c:pt>
                <c:pt idx="15">
                  <c:v>0.14744145706851691</c:v>
                </c:pt>
                <c:pt idx="16">
                  <c:v>0.17541880045134972</c:v>
                </c:pt>
                <c:pt idx="17">
                  <c:v>0.18095238095238095</c:v>
                </c:pt>
                <c:pt idx="18">
                  <c:v>0.10005970149253732</c:v>
                </c:pt>
                <c:pt idx="19">
                  <c:v>4.0574109853712396E-2</c:v>
                </c:pt>
                <c:pt idx="20">
                  <c:v>4.6521202140798683E-2</c:v>
                </c:pt>
                <c:pt idx="21">
                  <c:v>0.12951496388028896</c:v>
                </c:pt>
                <c:pt idx="22">
                  <c:v>6.8757083490744234E-2</c:v>
                </c:pt>
                <c:pt idx="23">
                  <c:v>2.9605263157894735E-2</c:v>
                </c:pt>
                <c:pt idx="24">
                  <c:v>0.25593175153292458</c:v>
                </c:pt>
                <c:pt idx="25">
                  <c:v>5.32258064516129E-2</c:v>
                </c:pt>
                <c:pt idx="26">
                  <c:v>0.1079136690647482</c:v>
                </c:pt>
                <c:pt idx="27">
                  <c:v>0.13464566929133859</c:v>
                </c:pt>
                <c:pt idx="28">
                  <c:v>2.8490028490028491E-3</c:v>
                </c:pt>
                <c:pt idx="29">
                  <c:v>0.38842647641696393</c:v>
                </c:pt>
              </c:numCache>
            </c:numRef>
          </c:xVal>
          <c:yVal>
            <c:numRef>
              <c:f>舍弃离群值的数据!$G$2:$G$31</c:f>
              <c:numCache>
                <c:formatCode>General</c:formatCode>
                <c:ptCount val="30"/>
                <c:pt idx="0">
                  <c:v>-6</c:v>
                </c:pt>
                <c:pt idx="1">
                  <c:v>-6.3</c:v>
                </c:pt>
                <c:pt idx="2">
                  <c:v>-4.8</c:v>
                </c:pt>
                <c:pt idx="3">
                  <c:v>-3.6999999999999997</c:v>
                </c:pt>
                <c:pt idx="4">
                  <c:v>-5.3</c:v>
                </c:pt>
                <c:pt idx="5">
                  <c:v>-4.9000000000000004</c:v>
                </c:pt>
                <c:pt idx="6">
                  <c:v>-6.6</c:v>
                </c:pt>
                <c:pt idx="7">
                  <c:v>-1.5</c:v>
                </c:pt>
                <c:pt idx="8">
                  <c:v>-3.5999999999999996</c:v>
                </c:pt>
                <c:pt idx="9">
                  <c:v>-4.5</c:v>
                </c:pt>
                <c:pt idx="10">
                  <c:v>-5</c:v>
                </c:pt>
                <c:pt idx="11">
                  <c:v>-5.1999999999999993</c:v>
                </c:pt>
                <c:pt idx="12">
                  <c:v>-5.5</c:v>
                </c:pt>
                <c:pt idx="13">
                  <c:v>-3.6</c:v>
                </c:pt>
                <c:pt idx="14">
                  <c:v>-6.5</c:v>
                </c:pt>
                <c:pt idx="15">
                  <c:v>-5</c:v>
                </c:pt>
                <c:pt idx="16">
                  <c:v>-5.5</c:v>
                </c:pt>
                <c:pt idx="17">
                  <c:v>-4.6999999999999993</c:v>
                </c:pt>
                <c:pt idx="18">
                  <c:v>-5.0999999999999996</c:v>
                </c:pt>
                <c:pt idx="19">
                  <c:v>-5.1000000000000005</c:v>
                </c:pt>
                <c:pt idx="20">
                  <c:v>-5.3999999999999995</c:v>
                </c:pt>
                <c:pt idx="21">
                  <c:v>-4.8</c:v>
                </c:pt>
                <c:pt idx="22">
                  <c:v>-3.4000000000000004</c:v>
                </c:pt>
                <c:pt idx="23">
                  <c:v>-5.0999999999999996</c:v>
                </c:pt>
                <c:pt idx="24">
                  <c:v>-6.1</c:v>
                </c:pt>
                <c:pt idx="25">
                  <c:v>-4</c:v>
                </c:pt>
                <c:pt idx="26">
                  <c:v>-3.9</c:v>
                </c:pt>
                <c:pt idx="27">
                  <c:v>-7.1</c:v>
                </c:pt>
                <c:pt idx="28">
                  <c:v>-1.7999999999999998</c:v>
                </c:pt>
                <c:pt idx="29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37-4136-A8FA-4B62F9E94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445696"/>
        <c:axId val="2133446112"/>
      </c:scatterChart>
      <c:valAx>
        <c:axId val="213344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感染率（人</a:t>
                </a:r>
                <a:r>
                  <a:rPr lang="en-US" altLang="zh-CN"/>
                  <a:t>/</a:t>
                </a:r>
                <a:r>
                  <a:rPr lang="zh-CN" altLang="en-US"/>
                  <a:t>万人）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3446112"/>
        <c:crosses val="autoZero"/>
        <c:crossBetween val="midCat"/>
      </c:valAx>
      <c:valAx>
        <c:axId val="213344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GDP</a:t>
                </a:r>
                <a:r>
                  <a:rPr lang="zh-CN" altLang="en-US"/>
                  <a:t>增速改变量（</a:t>
                </a:r>
                <a:r>
                  <a:rPr lang="en-US" altLang="zh-CN"/>
                  <a:t>%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344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</xdr:colOff>
      <xdr:row>0</xdr:row>
      <xdr:rowOff>1</xdr:rowOff>
    </xdr:from>
    <xdr:to>
      <xdr:col>19</xdr:col>
      <xdr:colOff>556260</xdr:colOff>
      <xdr:row>28</xdr:row>
      <xdr:rowOff>99061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BC62623-1DC5-4B65-9344-DFD76CD4E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19</xdr:col>
      <xdr:colOff>670560</xdr:colOff>
      <xdr:row>29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F3BBBC6-80DF-4151-A2B8-7B6E3F8A4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D667-6F09-411C-AAC0-789A66AE5C24}">
  <dimension ref="A1:H32"/>
  <sheetViews>
    <sheetView tabSelected="1" zoomScaleNormal="100" workbookViewId="0">
      <selection activeCell="G19" sqref="G19"/>
    </sheetView>
  </sheetViews>
  <sheetFormatPr defaultRowHeight="14.25" x14ac:dyDescent="0.2"/>
  <cols>
    <col min="1" max="1" width="23.75" customWidth="1"/>
    <col min="2" max="4" width="27.125" customWidth="1"/>
    <col min="5" max="6" width="27" customWidth="1"/>
    <col min="7" max="7" width="18" customWidth="1"/>
    <col min="8" max="8" width="13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34</v>
      </c>
      <c r="E1" t="s">
        <v>35</v>
      </c>
      <c r="F1" t="s">
        <v>54</v>
      </c>
      <c r="G1" t="s">
        <v>53</v>
      </c>
      <c r="H1">
        <f>_xlfn.COVARIANCE.P(D2:D32, G2:G32)</f>
        <v>-4.69344398512761</v>
      </c>
    </row>
    <row r="2" spans="1:8" x14ac:dyDescent="0.2">
      <c r="A2" t="s">
        <v>25</v>
      </c>
      <c r="B2">
        <v>2154</v>
      </c>
      <c r="C2">
        <v>957</v>
      </c>
      <c r="D2">
        <f>C2/B2</f>
        <v>0.44428969359331477</v>
      </c>
      <c r="E2">
        <v>0.1</v>
      </c>
      <c r="F2">
        <v>6.1</v>
      </c>
      <c r="G2">
        <v>-6</v>
      </c>
      <c r="H2">
        <f>CORREL(D2:D32,G2:G32)</f>
        <v>-0.89111358416494568</v>
      </c>
    </row>
    <row r="3" spans="1:8" x14ac:dyDescent="0.2">
      <c r="A3" t="s">
        <v>26</v>
      </c>
      <c r="B3">
        <v>2428</v>
      </c>
      <c r="C3">
        <v>1418</v>
      </c>
      <c r="D3">
        <f t="shared" ref="D3:D32" si="0">C3/B3</f>
        <v>0.58401976935749589</v>
      </c>
      <c r="E3">
        <v>-0.3</v>
      </c>
      <c r="F3">
        <v>6</v>
      </c>
      <c r="G3">
        <f t="shared" ref="G3:G32" si="1">E3-F3</f>
        <v>-6.3</v>
      </c>
    </row>
    <row r="4" spans="1:8" x14ac:dyDescent="0.2">
      <c r="A4" t="s">
        <v>27</v>
      </c>
      <c r="B4">
        <v>1562</v>
      </c>
      <c r="C4">
        <v>303</v>
      </c>
      <c r="D4">
        <f t="shared" si="0"/>
        <v>0.1939820742637644</v>
      </c>
      <c r="E4">
        <v>0</v>
      </c>
      <c r="F4">
        <v>4.8</v>
      </c>
      <c r="G4">
        <f t="shared" si="1"/>
        <v>-4.8</v>
      </c>
    </row>
    <row r="5" spans="1:8" x14ac:dyDescent="0.2">
      <c r="A5" t="s">
        <v>28</v>
      </c>
      <c r="B5">
        <v>3124</v>
      </c>
      <c r="C5">
        <v>590</v>
      </c>
      <c r="D5">
        <f t="shared" si="0"/>
        <v>0.18886043533930857</v>
      </c>
      <c r="E5">
        <v>2.6</v>
      </c>
      <c r="F5">
        <v>6.3</v>
      </c>
      <c r="G5">
        <f t="shared" si="1"/>
        <v>-3.6999999999999997</v>
      </c>
    </row>
    <row r="6" spans="1:8" x14ac:dyDescent="0.2">
      <c r="A6" t="s">
        <v>3</v>
      </c>
      <c r="B6">
        <v>7592</v>
      </c>
      <c r="C6">
        <v>373</v>
      </c>
      <c r="D6">
        <f t="shared" si="0"/>
        <v>4.9130663856691251E-2</v>
      </c>
      <c r="E6">
        <v>1.5</v>
      </c>
      <c r="F6">
        <v>6.8</v>
      </c>
      <c r="G6">
        <f t="shared" si="1"/>
        <v>-5.3</v>
      </c>
    </row>
    <row r="7" spans="1:8" x14ac:dyDescent="0.2">
      <c r="A7" t="s">
        <v>4</v>
      </c>
      <c r="B7">
        <v>3729</v>
      </c>
      <c r="C7">
        <v>222</v>
      </c>
      <c r="D7">
        <f t="shared" si="0"/>
        <v>5.9533386967015288E-2</v>
      </c>
      <c r="E7">
        <v>1.3</v>
      </c>
      <c r="F7">
        <v>6.2</v>
      </c>
      <c r="G7">
        <f t="shared" si="1"/>
        <v>-4.9000000000000004</v>
      </c>
    </row>
    <row r="8" spans="1:8" x14ac:dyDescent="0.2">
      <c r="A8" t="s">
        <v>5</v>
      </c>
      <c r="B8">
        <v>4352</v>
      </c>
      <c r="C8">
        <v>289</v>
      </c>
      <c r="D8">
        <f t="shared" si="0"/>
        <v>6.640625E-2</v>
      </c>
      <c r="E8">
        <v>-1.1000000000000001</v>
      </c>
      <c r="F8">
        <v>5.5</v>
      </c>
      <c r="G8">
        <f t="shared" si="1"/>
        <v>-6.6</v>
      </c>
    </row>
    <row r="9" spans="1:8" x14ac:dyDescent="0.2">
      <c r="A9" t="s">
        <v>6</v>
      </c>
      <c r="B9">
        <v>2691</v>
      </c>
      <c r="C9">
        <v>157</v>
      </c>
      <c r="D9">
        <f t="shared" si="0"/>
        <v>5.8342623560014864E-2</v>
      </c>
      <c r="E9">
        <v>1.5</v>
      </c>
      <c r="F9">
        <v>3</v>
      </c>
      <c r="G9">
        <f t="shared" si="1"/>
        <v>-1.5</v>
      </c>
    </row>
    <row r="10" spans="1:8" x14ac:dyDescent="0.2">
      <c r="A10" t="s">
        <v>7</v>
      </c>
      <c r="B10">
        <v>8070</v>
      </c>
      <c r="C10">
        <v>684</v>
      </c>
      <c r="D10">
        <f t="shared" si="0"/>
        <v>8.4758364312267659E-2</v>
      </c>
      <c r="E10">
        <v>2.5</v>
      </c>
      <c r="F10">
        <v>6.1</v>
      </c>
      <c r="G10">
        <f t="shared" si="1"/>
        <v>-3.5999999999999996</v>
      </c>
    </row>
    <row r="11" spans="1:8" x14ac:dyDescent="0.2">
      <c r="A11" t="s">
        <v>8</v>
      </c>
      <c r="B11">
        <v>5850</v>
      </c>
      <c r="C11">
        <v>1297</v>
      </c>
      <c r="D11">
        <f t="shared" si="0"/>
        <v>0.2217094017094017</v>
      </c>
      <c r="E11">
        <v>2.2999999999999998</v>
      </c>
      <c r="F11">
        <v>6.8</v>
      </c>
      <c r="G11">
        <f t="shared" si="1"/>
        <v>-4.5</v>
      </c>
    </row>
    <row r="12" spans="1:8" x14ac:dyDescent="0.2">
      <c r="A12" t="s">
        <v>9</v>
      </c>
      <c r="B12">
        <v>6366</v>
      </c>
      <c r="C12">
        <v>992</v>
      </c>
      <c r="D12">
        <f t="shared" si="0"/>
        <v>0.15582783537543199</v>
      </c>
      <c r="E12">
        <v>2.5</v>
      </c>
      <c r="F12">
        <v>7.5</v>
      </c>
      <c r="G12">
        <f t="shared" si="1"/>
        <v>-5</v>
      </c>
    </row>
    <row r="13" spans="1:8" x14ac:dyDescent="0.2">
      <c r="A13" t="s">
        <v>10</v>
      </c>
      <c r="B13">
        <v>3973</v>
      </c>
      <c r="C13">
        <v>503</v>
      </c>
      <c r="D13">
        <f t="shared" si="0"/>
        <v>0.12660458092121823</v>
      </c>
      <c r="E13">
        <v>2.4</v>
      </c>
      <c r="F13">
        <v>7.6</v>
      </c>
      <c r="G13">
        <f t="shared" si="1"/>
        <v>-5.1999999999999993</v>
      </c>
    </row>
    <row r="14" spans="1:8" x14ac:dyDescent="0.2">
      <c r="A14" t="s">
        <v>11</v>
      </c>
      <c r="B14">
        <v>4666</v>
      </c>
      <c r="C14">
        <v>935</v>
      </c>
      <c r="D14">
        <f t="shared" si="0"/>
        <v>0.20038576939562794</v>
      </c>
      <c r="E14">
        <v>2.5</v>
      </c>
      <c r="F14">
        <v>8</v>
      </c>
      <c r="G14">
        <f t="shared" si="1"/>
        <v>-5.5</v>
      </c>
    </row>
    <row r="15" spans="1:8" x14ac:dyDescent="0.2">
      <c r="A15" t="s">
        <v>12</v>
      </c>
      <c r="B15">
        <v>10070</v>
      </c>
      <c r="C15">
        <v>859</v>
      </c>
      <c r="D15">
        <f t="shared" si="0"/>
        <v>8.530287984111222E-2</v>
      </c>
      <c r="E15">
        <v>1.9</v>
      </c>
      <c r="F15">
        <v>5.5</v>
      </c>
      <c r="G15">
        <f t="shared" si="1"/>
        <v>-3.6</v>
      </c>
    </row>
    <row r="16" spans="1:8" x14ac:dyDescent="0.2">
      <c r="A16" t="s">
        <v>13</v>
      </c>
      <c r="B16">
        <v>9640</v>
      </c>
      <c r="C16">
        <v>1295</v>
      </c>
      <c r="D16">
        <f t="shared" si="0"/>
        <v>0.13433609958506224</v>
      </c>
      <c r="E16">
        <v>0.5</v>
      </c>
      <c r="F16">
        <v>7</v>
      </c>
      <c r="G16">
        <f t="shared" si="1"/>
        <v>-6.5</v>
      </c>
    </row>
    <row r="17" spans="1:7" x14ac:dyDescent="0.2">
      <c r="A17" t="s">
        <v>14</v>
      </c>
      <c r="B17">
        <v>5927</v>
      </c>
      <c r="C17">
        <v>68149</v>
      </c>
      <c r="D17">
        <f t="shared" si="0"/>
        <v>11.498059726674541</v>
      </c>
      <c r="E17">
        <v>-10.4</v>
      </c>
      <c r="F17">
        <v>7.5</v>
      </c>
      <c r="G17">
        <f t="shared" si="1"/>
        <v>-17.899999999999999</v>
      </c>
    </row>
    <row r="18" spans="1:7" x14ac:dyDescent="0.2">
      <c r="A18" t="s">
        <v>15</v>
      </c>
      <c r="B18">
        <v>6918</v>
      </c>
      <c r="C18">
        <v>1020</v>
      </c>
      <c r="D18">
        <f t="shared" si="0"/>
        <v>0.14744145706851691</v>
      </c>
      <c r="E18">
        <v>2.6</v>
      </c>
      <c r="F18">
        <v>7.6</v>
      </c>
      <c r="G18">
        <f t="shared" si="1"/>
        <v>-5</v>
      </c>
    </row>
    <row r="19" spans="1:7" x14ac:dyDescent="0.2">
      <c r="A19" t="s">
        <v>16</v>
      </c>
      <c r="B19">
        <v>11521</v>
      </c>
      <c r="C19">
        <v>2021</v>
      </c>
      <c r="D19">
        <f t="shared" si="0"/>
        <v>0.17541880045134972</v>
      </c>
      <c r="E19">
        <v>0.7</v>
      </c>
      <c r="F19">
        <v>6.2</v>
      </c>
      <c r="G19">
        <f t="shared" si="1"/>
        <v>-5.5</v>
      </c>
    </row>
    <row r="20" spans="1:7" x14ac:dyDescent="0.2">
      <c r="A20" t="s">
        <v>17</v>
      </c>
      <c r="B20">
        <v>945</v>
      </c>
      <c r="C20">
        <v>171</v>
      </c>
      <c r="D20">
        <f t="shared" si="0"/>
        <v>0.18095238095238095</v>
      </c>
      <c r="E20">
        <v>1.1000000000000001</v>
      </c>
      <c r="F20">
        <v>5.8</v>
      </c>
      <c r="G20">
        <f t="shared" si="1"/>
        <v>-4.6999999999999993</v>
      </c>
    </row>
    <row r="21" spans="1:7" x14ac:dyDescent="0.2">
      <c r="A21" t="s">
        <v>18</v>
      </c>
      <c r="B21">
        <v>8375</v>
      </c>
      <c r="C21">
        <v>838</v>
      </c>
      <c r="D21">
        <f t="shared" si="0"/>
        <v>0.10005970149253732</v>
      </c>
      <c r="E21">
        <v>2.4</v>
      </c>
      <c r="F21">
        <v>7.5</v>
      </c>
      <c r="G21">
        <f t="shared" si="1"/>
        <v>-5.0999999999999996</v>
      </c>
    </row>
    <row r="22" spans="1:7" x14ac:dyDescent="0.2">
      <c r="A22" t="s">
        <v>19</v>
      </c>
      <c r="B22">
        <v>3623</v>
      </c>
      <c r="C22">
        <v>147</v>
      </c>
      <c r="D22">
        <f t="shared" si="0"/>
        <v>4.0574109853712396E-2</v>
      </c>
      <c r="E22">
        <v>3.2</v>
      </c>
      <c r="F22">
        <v>8.3000000000000007</v>
      </c>
      <c r="G22">
        <f t="shared" si="1"/>
        <v>-5.1000000000000005</v>
      </c>
    </row>
    <row r="23" spans="1:7" x14ac:dyDescent="0.2">
      <c r="A23" t="s">
        <v>20</v>
      </c>
      <c r="B23">
        <v>4858</v>
      </c>
      <c r="C23">
        <v>226</v>
      </c>
      <c r="D23">
        <f t="shared" si="0"/>
        <v>4.6521202140798683E-2</v>
      </c>
      <c r="E23">
        <v>2.7</v>
      </c>
      <c r="F23">
        <v>8.1</v>
      </c>
      <c r="G23">
        <f t="shared" si="1"/>
        <v>-5.3999999999999995</v>
      </c>
    </row>
    <row r="24" spans="1:7" x14ac:dyDescent="0.2">
      <c r="A24" t="s">
        <v>21</v>
      </c>
      <c r="B24">
        <v>3876</v>
      </c>
      <c r="C24">
        <v>502</v>
      </c>
      <c r="D24">
        <f t="shared" si="0"/>
        <v>0.12951496388028896</v>
      </c>
      <c r="E24">
        <v>1.2</v>
      </c>
      <c r="F24">
        <v>6</v>
      </c>
      <c r="G24">
        <f t="shared" si="1"/>
        <v>-4.8</v>
      </c>
    </row>
    <row r="25" spans="1:7" x14ac:dyDescent="0.2">
      <c r="A25" t="s">
        <v>22</v>
      </c>
      <c r="B25">
        <v>2647</v>
      </c>
      <c r="C25">
        <v>182</v>
      </c>
      <c r="D25">
        <f t="shared" si="0"/>
        <v>6.8757083490744234E-2</v>
      </c>
      <c r="E25">
        <v>2.8</v>
      </c>
      <c r="F25">
        <v>6.2</v>
      </c>
      <c r="G25">
        <f t="shared" si="1"/>
        <v>-3.4000000000000004</v>
      </c>
    </row>
    <row r="26" spans="1:7" x14ac:dyDescent="0.2">
      <c r="A26" t="s">
        <v>23</v>
      </c>
      <c r="B26">
        <v>608</v>
      </c>
      <c r="C26">
        <v>18</v>
      </c>
      <c r="D26">
        <f t="shared" si="0"/>
        <v>2.9605263157894735E-2</v>
      </c>
      <c r="E26">
        <v>1.2</v>
      </c>
      <c r="F26">
        <v>6.3</v>
      </c>
      <c r="G26">
        <f t="shared" si="1"/>
        <v>-5.0999999999999996</v>
      </c>
    </row>
    <row r="27" spans="1:7" x14ac:dyDescent="0.2">
      <c r="A27" t="s">
        <v>24</v>
      </c>
      <c r="B27">
        <v>3751</v>
      </c>
      <c r="C27">
        <v>960</v>
      </c>
      <c r="D27">
        <f t="shared" si="0"/>
        <v>0.25593175153292458</v>
      </c>
      <c r="E27">
        <v>-1.9</v>
      </c>
      <c r="F27">
        <v>4.2</v>
      </c>
      <c r="G27">
        <f t="shared" si="1"/>
        <v>-6.1</v>
      </c>
    </row>
    <row r="28" spans="1:7" x14ac:dyDescent="0.2">
      <c r="A28" t="s">
        <v>29</v>
      </c>
      <c r="B28">
        <v>4960</v>
      </c>
      <c r="C28">
        <v>264</v>
      </c>
      <c r="D28">
        <f t="shared" si="0"/>
        <v>5.32258064516129E-2</v>
      </c>
      <c r="E28">
        <v>2</v>
      </c>
      <c r="F28">
        <v>6</v>
      </c>
      <c r="G28">
        <f t="shared" si="1"/>
        <v>-4</v>
      </c>
    </row>
    <row r="29" spans="1:7" x14ac:dyDescent="0.2">
      <c r="A29" t="s">
        <v>30</v>
      </c>
      <c r="B29">
        <v>695</v>
      </c>
      <c r="C29">
        <v>75</v>
      </c>
      <c r="D29">
        <f t="shared" si="0"/>
        <v>0.1079136690647482</v>
      </c>
      <c r="E29">
        <v>2.6</v>
      </c>
      <c r="F29">
        <v>6.5</v>
      </c>
      <c r="G29">
        <f t="shared" si="1"/>
        <v>-3.9</v>
      </c>
    </row>
    <row r="30" spans="1:7" x14ac:dyDescent="0.2">
      <c r="A30" t="s">
        <v>31</v>
      </c>
      <c r="B30">
        <v>2540</v>
      </c>
      <c r="C30">
        <v>342</v>
      </c>
      <c r="D30">
        <f t="shared" si="0"/>
        <v>0.13464566929133859</v>
      </c>
      <c r="E30">
        <v>-1.9</v>
      </c>
      <c r="F30">
        <v>5.2</v>
      </c>
      <c r="G30">
        <f t="shared" si="1"/>
        <v>-7.1</v>
      </c>
    </row>
    <row r="31" spans="1:7" x14ac:dyDescent="0.2">
      <c r="A31" t="s">
        <v>32</v>
      </c>
      <c r="B31">
        <v>351</v>
      </c>
      <c r="C31">
        <v>1</v>
      </c>
      <c r="D31">
        <f t="shared" si="0"/>
        <v>2.8490028490028491E-3</v>
      </c>
      <c r="E31">
        <v>6.3</v>
      </c>
      <c r="F31">
        <v>8.1</v>
      </c>
      <c r="G31">
        <f t="shared" si="1"/>
        <v>-1.7999999999999998</v>
      </c>
    </row>
    <row r="32" spans="1:7" x14ac:dyDescent="0.2">
      <c r="A32" t="s">
        <v>33</v>
      </c>
      <c r="B32">
        <v>2523</v>
      </c>
      <c r="C32">
        <v>980</v>
      </c>
      <c r="D32">
        <f t="shared" si="0"/>
        <v>0.38842647641696393</v>
      </c>
      <c r="E32">
        <v>2.2000000000000002</v>
      </c>
      <c r="F32">
        <v>6.2</v>
      </c>
      <c r="G32">
        <f t="shared" si="1"/>
        <v>-4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CB27-FA7A-44DE-9882-F4118B33DAFA}">
  <dimension ref="A1:H31"/>
  <sheetViews>
    <sheetView workbookViewId="0">
      <selection activeCell="H1" sqref="H1"/>
    </sheetView>
  </sheetViews>
  <sheetFormatPr defaultRowHeight="14.25" x14ac:dyDescent="0.2"/>
  <cols>
    <col min="1" max="1" width="18" customWidth="1"/>
    <col min="2" max="2" width="23.5" customWidth="1"/>
    <col min="3" max="3" width="25" customWidth="1"/>
    <col min="4" max="4" width="17.75" customWidth="1"/>
    <col min="5" max="7" width="26.625" customWidth="1"/>
    <col min="8" max="8" width="12.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34</v>
      </c>
      <c r="E1" t="s">
        <v>35</v>
      </c>
      <c r="F1" t="s">
        <v>36</v>
      </c>
      <c r="G1" t="s">
        <v>53</v>
      </c>
      <c r="H1">
        <f>_xlfn.COVARIANCE.P(D2:D31,G2:G31)</f>
        <v>-5.4637616130535041E-2</v>
      </c>
    </row>
    <row r="2" spans="1:8" x14ac:dyDescent="0.2">
      <c r="A2" t="s">
        <v>25</v>
      </c>
      <c r="B2">
        <v>2154</v>
      </c>
      <c r="C2">
        <v>957</v>
      </c>
      <c r="D2">
        <f>C2/B2</f>
        <v>0.44428969359331477</v>
      </c>
      <c r="E2">
        <v>0.1</v>
      </c>
      <c r="F2">
        <v>6.1</v>
      </c>
      <c r="G2">
        <f>E2-F2</f>
        <v>-6</v>
      </c>
      <c r="H2">
        <f>CORREL(D2:D31, G2:G31)</f>
        <v>-0.3454887170008083</v>
      </c>
    </row>
    <row r="3" spans="1:8" x14ac:dyDescent="0.2">
      <c r="A3" t="s">
        <v>26</v>
      </c>
      <c r="B3">
        <v>2428</v>
      </c>
      <c r="C3">
        <v>1418</v>
      </c>
      <c r="D3">
        <f t="shared" ref="D3:D31" si="0">C3/B3</f>
        <v>0.58401976935749589</v>
      </c>
      <c r="E3">
        <v>-0.3</v>
      </c>
      <c r="F3">
        <v>6</v>
      </c>
      <c r="G3">
        <f t="shared" ref="G3:G31" si="1">E3-F3</f>
        <v>-6.3</v>
      </c>
    </row>
    <row r="4" spans="1:8" x14ac:dyDescent="0.2">
      <c r="A4" t="s">
        <v>27</v>
      </c>
      <c r="B4">
        <v>1562</v>
      </c>
      <c r="C4">
        <v>303</v>
      </c>
      <c r="D4">
        <f t="shared" si="0"/>
        <v>0.1939820742637644</v>
      </c>
      <c r="E4">
        <v>0</v>
      </c>
      <c r="F4">
        <v>4.8</v>
      </c>
      <c r="G4">
        <f t="shared" si="1"/>
        <v>-4.8</v>
      </c>
    </row>
    <row r="5" spans="1:8" x14ac:dyDescent="0.2">
      <c r="A5" t="s">
        <v>28</v>
      </c>
      <c r="B5">
        <v>3124</v>
      </c>
      <c r="C5">
        <v>590</v>
      </c>
      <c r="D5">
        <f t="shared" si="0"/>
        <v>0.18886043533930857</v>
      </c>
      <c r="E5">
        <v>2.6</v>
      </c>
      <c r="F5">
        <v>6.3</v>
      </c>
      <c r="G5">
        <f t="shared" si="1"/>
        <v>-3.6999999999999997</v>
      </c>
    </row>
    <row r="6" spans="1:8" x14ac:dyDescent="0.2">
      <c r="A6" t="s">
        <v>3</v>
      </c>
      <c r="B6">
        <v>7592</v>
      </c>
      <c r="C6">
        <v>373</v>
      </c>
      <c r="D6">
        <f t="shared" si="0"/>
        <v>4.9130663856691251E-2</v>
      </c>
      <c r="E6">
        <v>1.5</v>
      </c>
      <c r="F6">
        <v>6.8</v>
      </c>
      <c r="G6">
        <f t="shared" si="1"/>
        <v>-5.3</v>
      </c>
    </row>
    <row r="7" spans="1:8" x14ac:dyDescent="0.2">
      <c r="A7" t="s">
        <v>4</v>
      </c>
      <c r="B7">
        <v>3729</v>
      </c>
      <c r="C7">
        <v>222</v>
      </c>
      <c r="D7">
        <f t="shared" si="0"/>
        <v>5.9533386967015288E-2</v>
      </c>
      <c r="E7">
        <v>1.3</v>
      </c>
      <c r="F7">
        <v>6.2</v>
      </c>
      <c r="G7">
        <f t="shared" si="1"/>
        <v>-4.9000000000000004</v>
      </c>
    </row>
    <row r="8" spans="1:8" x14ac:dyDescent="0.2">
      <c r="A8" t="s">
        <v>5</v>
      </c>
      <c r="B8">
        <v>4352</v>
      </c>
      <c r="C8">
        <v>289</v>
      </c>
      <c r="D8">
        <f t="shared" si="0"/>
        <v>6.640625E-2</v>
      </c>
      <c r="E8">
        <v>-1.1000000000000001</v>
      </c>
      <c r="F8">
        <v>5.5</v>
      </c>
      <c r="G8">
        <f t="shared" si="1"/>
        <v>-6.6</v>
      </c>
    </row>
    <row r="9" spans="1:8" x14ac:dyDescent="0.2">
      <c r="A9" t="s">
        <v>6</v>
      </c>
      <c r="B9">
        <v>2691</v>
      </c>
      <c r="C9">
        <v>157</v>
      </c>
      <c r="D9">
        <f t="shared" si="0"/>
        <v>5.8342623560014864E-2</v>
      </c>
      <c r="E9">
        <v>1.5</v>
      </c>
      <c r="F9">
        <v>3</v>
      </c>
      <c r="G9">
        <f t="shared" si="1"/>
        <v>-1.5</v>
      </c>
    </row>
    <row r="10" spans="1:8" x14ac:dyDescent="0.2">
      <c r="A10" t="s">
        <v>7</v>
      </c>
      <c r="B10">
        <v>8070</v>
      </c>
      <c r="C10">
        <v>684</v>
      </c>
      <c r="D10">
        <f t="shared" si="0"/>
        <v>8.4758364312267659E-2</v>
      </c>
      <c r="E10">
        <v>2.5</v>
      </c>
      <c r="F10">
        <v>6.1</v>
      </c>
      <c r="G10">
        <f t="shared" si="1"/>
        <v>-3.5999999999999996</v>
      </c>
    </row>
    <row r="11" spans="1:8" x14ac:dyDescent="0.2">
      <c r="A11" t="s">
        <v>8</v>
      </c>
      <c r="B11">
        <v>5850</v>
      </c>
      <c r="C11">
        <v>1297</v>
      </c>
      <c r="D11">
        <f t="shared" si="0"/>
        <v>0.2217094017094017</v>
      </c>
      <c r="E11">
        <v>2.2999999999999998</v>
      </c>
      <c r="F11">
        <v>6.8</v>
      </c>
      <c r="G11">
        <f t="shared" si="1"/>
        <v>-4.5</v>
      </c>
    </row>
    <row r="12" spans="1:8" x14ac:dyDescent="0.2">
      <c r="A12" t="s">
        <v>9</v>
      </c>
      <c r="B12">
        <v>6366</v>
      </c>
      <c r="C12">
        <v>992</v>
      </c>
      <c r="D12">
        <f t="shared" si="0"/>
        <v>0.15582783537543199</v>
      </c>
      <c r="E12">
        <v>2.5</v>
      </c>
      <c r="F12">
        <v>7.5</v>
      </c>
      <c r="G12">
        <f t="shared" si="1"/>
        <v>-5</v>
      </c>
    </row>
    <row r="13" spans="1:8" x14ac:dyDescent="0.2">
      <c r="A13" t="s">
        <v>10</v>
      </c>
      <c r="B13">
        <v>3973</v>
      </c>
      <c r="C13">
        <v>503</v>
      </c>
      <c r="D13">
        <f t="shared" si="0"/>
        <v>0.12660458092121823</v>
      </c>
      <c r="E13">
        <v>2.4</v>
      </c>
      <c r="F13">
        <v>7.6</v>
      </c>
      <c r="G13">
        <f t="shared" si="1"/>
        <v>-5.1999999999999993</v>
      </c>
    </row>
    <row r="14" spans="1:8" x14ac:dyDescent="0.2">
      <c r="A14" t="s">
        <v>11</v>
      </c>
      <c r="B14">
        <v>4666</v>
      </c>
      <c r="C14">
        <v>935</v>
      </c>
      <c r="D14">
        <f t="shared" si="0"/>
        <v>0.20038576939562794</v>
      </c>
      <c r="E14">
        <v>2.5</v>
      </c>
      <c r="F14">
        <v>8</v>
      </c>
      <c r="G14">
        <f t="shared" si="1"/>
        <v>-5.5</v>
      </c>
    </row>
    <row r="15" spans="1:8" x14ac:dyDescent="0.2">
      <c r="A15" t="s">
        <v>12</v>
      </c>
      <c r="B15">
        <v>10070</v>
      </c>
      <c r="C15">
        <v>859</v>
      </c>
      <c r="D15">
        <f t="shared" si="0"/>
        <v>8.530287984111222E-2</v>
      </c>
      <c r="E15">
        <v>1.9</v>
      </c>
      <c r="F15">
        <v>5.5</v>
      </c>
      <c r="G15">
        <f t="shared" si="1"/>
        <v>-3.6</v>
      </c>
    </row>
    <row r="16" spans="1:8" x14ac:dyDescent="0.2">
      <c r="A16" t="s">
        <v>13</v>
      </c>
      <c r="B16">
        <v>9640</v>
      </c>
      <c r="C16">
        <v>1295</v>
      </c>
      <c r="D16">
        <f t="shared" si="0"/>
        <v>0.13433609958506224</v>
      </c>
      <c r="E16">
        <v>0.5</v>
      </c>
      <c r="F16">
        <v>7</v>
      </c>
      <c r="G16">
        <f t="shared" si="1"/>
        <v>-6.5</v>
      </c>
    </row>
    <row r="17" spans="1:7" x14ac:dyDescent="0.2">
      <c r="A17" t="s">
        <v>15</v>
      </c>
      <c r="B17">
        <v>6918</v>
      </c>
      <c r="C17">
        <v>1020</v>
      </c>
      <c r="D17">
        <f t="shared" si="0"/>
        <v>0.14744145706851691</v>
      </c>
      <c r="E17">
        <v>2.6</v>
      </c>
      <c r="F17">
        <v>7.6</v>
      </c>
      <c r="G17">
        <f t="shared" si="1"/>
        <v>-5</v>
      </c>
    </row>
    <row r="18" spans="1:7" x14ac:dyDescent="0.2">
      <c r="A18" t="s">
        <v>16</v>
      </c>
      <c r="B18">
        <v>11521</v>
      </c>
      <c r="C18">
        <v>2021</v>
      </c>
      <c r="D18">
        <f t="shared" si="0"/>
        <v>0.17541880045134972</v>
      </c>
      <c r="E18">
        <v>0.7</v>
      </c>
      <c r="F18">
        <v>6.2</v>
      </c>
      <c r="G18">
        <f t="shared" si="1"/>
        <v>-5.5</v>
      </c>
    </row>
    <row r="19" spans="1:7" x14ac:dyDescent="0.2">
      <c r="A19" t="s">
        <v>17</v>
      </c>
      <c r="B19">
        <v>945</v>
      </c>
      <c r="C19">
        <v>171</v>
      </c>
      <c r="D19">
        <f t="shared" si="0"/>
        <v>0.18095238095238095</v>
      </c>
      <c r="E19">
        <v>1.1000000000000001</v>
      </c>
      <c r="F19">
        <v>5.8</v>
      </c>
      <c r="G19">
        <f t="shared" si="1"/>
        <v>-4.6999999999999993</v>
      </c>
    </row>
    <row r="20" spans="1:7" x14ac:dyDescent="0.2">
      <c r="A20" t="s">
        <v>18</v>
      </c>
      <c r="B20">
        <v>8375</v>
      </c>
      <c r="C20">
        <v>838</v>
      </c>
      <c r="D20">
        <f t="shared" si="0"/>
        <v>0.10005970149253732</v>
      </c>
      <c r="E20">
        <v>2.4</v>
      </c>
      <c r="F20">
        <v>7.5</v>
      </c>
      <c r="G20">
        <f t="shared" si="1"/>
        <v>-5.0999999999999996</v>
      </c>
    </row>
    <row r="21" spans="1:7" x14ac:dyDescent="0.2">
      <c r="A21" t="s">
        <v>19</v>
      </c>
      <c r="B21">
        <v>3623</v>
      </c>
      <c r="C21">
        <v>147</v>
      </c>
      <c r="D21">
        <f t="shared" si="0"/>
        <v>4.0574109853712396E-2</v>
      </c>
      <c r="E21">
        <v>3.2</v>
      </c>
      <c r="F21">
        <v>8.3000000000000007</v>
      </c>
      <c r="G21">
        <f t="shared" si="1"/>
        <v>-5.1000000000000005</v>
      </c>
    </row>
    <row r="22" spans="1:7" x14ac:dyDescent="0.2">
      <c r="A22" t="s">
        <v>20</v>
      </c>
      <c r="B22">
        <v>4858</v>
      </c>
      <c r="C22">
        <v>226</v>
      </c>
      <c r="D22">
        <f t="shared" si="0"/>
        <v>4.6521202140798683E-2</v>
      </c>
      <c r="E22">
        <v>2.7</v>
      </c>
      <c r="F22">
        <v>8.1</v>
      </c>
      <c r="G22">
        <f t="shared" si="1"/>
        <v>-5.3999999999999995</v>
      </c>
    </row>
    <row r="23" spans="1:7" x14ac:dyDescent="0.2">
      <c r="A23" t="s">
        <v>21</v>
      </c>
      <c r="B23">
        <v>3876</v>
      </c>
      <c r="C23">
        <v>502</v>
      </c>
      <c r="D23">
        <f t="shared" si="0"/>
        <v>0.12951496388028896</v>
      </c>
      <c r="E23">
        <v>1.2</v>
      </c>
      <c r="F23">
        <v>6</v>
      </c>
      <c r="G23">
        <f t="shared" si="1"/>
        <v>-4.8</v>
      </c>
    </row>
    <row r="24" spans="1:7" x14ac:dyDescent="0.2">
      <c r="A24" t="s">
        <v>22</v>
      </c>
      <c r="B24">
        <v>2647</v>
      </c>
      <c r="C24">
        <v>182</v>
      </c>
      <c r="D24">
        <f t="shared" si="0"/>
        <v>6.8757083490744234E-2</v>
      </c>
      <c r="E24">
        <v>2.8</v>
      </c>
      <c r="F24">
        <v>6.2</v>
      </c>
      <c r="G24">
        <f t="shared" si="1"/>
        <v>-3.4000000000000004</v>
      </c>
    </row>
    <row r="25" spans="1:7" x14ac:dyDescent="0.2">
      <c r="A25" t="s">
        <v>23</v>
      </c>
      <c r="B25">
        <v>608</v>
      </c>
      <c r="C25">
        <v>18</v>
      </c>
      <c r="D25">
        <f t="shared" si="0"/>
        <v>2.9605263157894735E-2</v>
      </c>
      <c r="E25">
        <v>1.2</v>
      </c>
      <c r="F25">
        <v>6.3</v>
      </c>
      <c r="G25">
        <f t="shared" si="1"/>
        <v>-5.0999999999999996</v>
      </c>
    </row>
    <row r="26" spans="1:7" x14ac:dyDescent="0.2">
      <c r="A26" t="s">
        <v>24</v>
      </c>
      <c r="B26">
        <v>3751</v>
      </c>
      <c r="C26">
        <v>960</v>
      </c>
      <c r="D26">
        <f t="shared" si="0"/>
        <v>0.25593175153292458</v>
      </c>
      <c r="E26">
        <v>-1.9</v>
      </c>
      <c r="F26">
        <v>4.2</v>
      </c>
      <c r="G26">
        <f t="shared" si="1"/>
        <v>-6.1</v>
      </c>
    </row>
    <row r="27" spans="1:7" x14ac:dyDescent="0.2">
      <c r="A27" t="s">
        <v>29</v>
      </c>
      <c r="B27">
        <v>4960</v>
      </c>
      <c r="C27">
        <v>264</v>
      </c>
      <c r="D27">
        <f t="shared" si="0"/>
        <v>5.32258064516129E-2</v>
      </c>
      <c r="E27">
        <v>2</v>
      </c>
      <c r="F27">
        <v>6</v>
      </c>
      <c r="G27">
        <f t="shared" si="1"/>
        <v>-4</v>
      </c>
    </row>
    <row r="28" spans="1:7" x14ac:dyDescent="0.2">
      <c r="A28" t="s">
        <v>30</v>
      </c>
      <c r="B28">
        <v>695</v>
      </c>
      <c r="C28">
        <v>75</v>
      </c>
      <c r="D28">
        <f t="shared" si="0"/>
        <v>0.1079136690647482</v>
      </c>
      <c r="E28">
        <v>2.6</v>
      </c>
      <c r="F28">
        <v>6.5</v>
      </c>
      <c r="G28">
        <f t="shared" si="1"/>
        <v>-3.9</v>
      </c>
    </row>
    <row r="29" spans="1:7" x14ac:dyDescent="0.2">
      <c r="A29" t="s">
        <v>31</v>
      </c>
      <c r="B29">
        <v>2540</v>
      </c>
      <c r="C29">
        <v>342</v>
      </c>
      <c r="D29">
        <f t="shared" si="0"/>
        <v>0.13464566929133859</v>
      </c>
      <c r="E29">
        <v>-1.9</v>
      </c>
      <c r="F29">
        <v>5.2</v>
      </c>
      <c r="G29">
        <f t="shared" si="1"/>
        <v>-7.1</v>
      </c>
    </row>
    <row r="30" spans="1:7" x14ac:dyDescent="0.2">
      <c r="A30" t="s">
        <v>32</v>
      </c>
      <c r="B30">
        <v>351</v>
      </c>
      <c r="C30">
        <v>1</v>
      </c>
      <c r="D30">
        <f t="shared" si="0"/>
        <v>2.8490028490028491E-3</v>
      </c>
      <c r="E30">
        <v>6.3</v>
      </c>
      <c r="F30">
        <v>8.1</v>
      </c>
      <c r="G30">
        <f t="shared" si="1"/>
        <v>-1.7999999999999998</v>
      </c>
    </row>
    <row r="31" spans="1:7" x14ac:dyDescent="0.2">
      <c r="A31" t="s">
        <v>33</v>
      </c>
      <c r="B31">
        <v>2523</v>
      </c>
      <c r="C31">
        <v>980</v>
      </c>
      <c r="D31">
        <f t="shared" si="0"/>
        <v>0.38842647641696393</v>
      </c>
      <c r="E31">
        <v>2.2000000000000002</v>
      </c>
      <c r="F31">
        <v>6.2</v>
      </c>
      <c r="G31">
        <f t="shared" si="1"/>
        <v>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5A78-09CF-400B-8491-CC7B1D6FD7CC}">
  <dimension ref="A1:E25"/>
  <sheetViews>
    <sheetView workbookViewId="0">
      <selection activeCell="F24" sqref="F24"/>
    </sheetView>
  </sheetViews>
  <sheetFormatPr defaultRowHeight="14.25" x14ac:dyDescent="0.2"/>
  <sheetData>
    <row r="1" spans="1:5" x14ac:dyDescent="0.2">
      <c r="A1" s="3" t="s">
        <v>56</v>
      </c>
      <c r="B1" s="3"/>
      <c r="D1" s="3" t="s">
        <v>55</v>
      </c>
      <c r="E1" s="3"/>
    </row>
    <row r="2" spans="1:5" x14ac:dyDescent="0.2">
      <c r="A2" s="1"/>
      <c r="B2" s="1"/>
      <c r="D2" s="1"/>
      <c r="E2" s="1"/>
    </row>
    <row r="3" spans="1:5" x14ac:dyDescent="0.2">
      <c r="A3" s="1" t="s">
        <v>37</v>
      </c>
      <c r="B3" s="1">
        <v>0.51656086751119623</v>
      </c>
      <c r="D3" s="1" t="s">
        <v>37</v>
      </c>
      <c r="E3" s="1">
        <v>-5.2225806451612904</v>
      </c>
    </row>
    <row r="4" spans="1:5" x14ac:dyDescent="0.2">
      <c r="A4" s="1" t="s">
        <v>38</v>
      </c>
      <c r="B4" s="1">
        <v>0.36675209809042497</v>
      </c>
      <c r="D4" s="1" t="s">
        <v>38</v>
      </c>
      <c r="E4" s="1">
        <v>0.47870141719679771</v>
      </c>
    </row>
    <row r="5" spans="1:5" x14ac:dyDescent="0.2">
      <c r="A5" s="1" t="s">
        <v>39</v>
      </c>
      <c r="B5" s="1">
        <v>0.12951496388028896</v>
      </c>
      <c r="D5" s="1" t="s">
        <v>39</v>
      </c>
      <c r="E5" s="1">
        <v>-5</v>
      </c>
    </row>
    <row r="6" spans="1:5" x14ac:dyDescent="0.2">
      <c r="A6" s="1" t="s">
        <v>40</v>
      </c>
      <c r="B6" s="1" t="e">
        <v>#N/A</v>
      </c>
      <c r="D6" s="1" t="s">
        <v>40</v>
      </c>
      <c r="E6" s="1">
        <v>-4.8</v>
      </c>
    </row>
    <row r="7" spans="1:5" x14ac:dyDescent="0.2">
      <c r="A7" s="1" t="s">
        <v>41</v>
      </c>
      <c r="B7" s="1">
        <v>2.0419892617410085</v>
      </c>
      <c r="D7" s="1" t="s">
        <v>41</v>
      </c>
      <c r="E7" s="1">
        <v>2.6652966911045568</v>
      </c>
    </row>
    <row r="8" spans="1:5" x14ac:dyDescent="0.2">
      <c r="A8" s="1" t="s">
        <v>42</v>
      </c>
      <c r="B8" s="1">
        <v>4.1697201450655887</v>
      </c>
      <c r="D8" s="1" t="s">
        <v>42</v>
      </c>
      <c r="E8" s="1">
        <v>7.1038064516128996</v>
      </c>
    </row>
    <row r="9" spans="1:5" x14ac:dyDescent="0.2">
      <c r="A9" s="1" t="s">
        <v>43</v>
      </c>
      <c r="B9" s="1">
        <v>30.738533897818321</v>
      </c>
      <c r="D9" s="1" t="s">
        <v>43</v>
      </c>
      <c r="E9" s="1">
        <v>17.832104312771541</v>
      </c>
    </row>
    <row r="10" spans="1:5" x14ac:dyDescent="0.2">
      <c r="A10" s="1" t="s">
        <v>44</v>
      </c>
      <c r="B10" s="1">
        <v>5.5341057355338803</v>
      </c>
      <c r="D10" s="1" t="s">
        <v>44</v>
      </c>
      <c r="E10" s="1">
        <v>-3.6410454379555861</v>
      </c>
    </row>
    <row r="11" spans="1:5" x14ac:dyDescent="0.2">
      <c r="A11" s="1" t="s">
        <v>45</v>
      </c>
      <c r="B11" s="1">
        <v>11.495210723825538</v>
      </c>
      <c r="D11" s="1" t="s">
        <v>45</v>
      </c>
      <c r="E11" s="1">
        <v>16.399999999999999</v>
      </c>
    </row>
    <row r="12" spans="1:5" x14ac:dyDescent="0.2">
      <c r="A12" s="1" t="s">
        <v>46</v>
      </c>
      <c r="B12" s="1">
        <v>2.8490028490028491E-3</v>
      </c>
      <c r="D12" s="1" t="s">
        <v>46</v>
      </c>
      <c r="E12" s="1">
        <v>-17.899999999999999</v>
      </c>
    </row>
    <row r="13" spans="1:5" x14ac:dyDescent="0.2">
      <c r="A13" s="1" t="s">
        <v>47</v>
      </c>
      <c r="B13" s="1">
        <v>11.498059726674541</v>
      </c>
      <c r="D13" s="1" t="s">
        <v>47</v>
      </c>
      <c r="E13" s="1">
        <v>-1.5</v>
      </c>
    </row>
    <row r="14" spans="1:5" x14ac:dyDescent="0.2">
      <c r="A14" s="1" t="s">
        <v>48</v>
      </c>
      <c r="B14" s="1">
        <v>16.013386892847084</v>
      </c>
      <c r="D14" s="1" t="s">
        <v>48</v>
      </c>
      <c r="E14" s="1">
        <v>-161.9</v>
      </c>
    </row>
    <row r="15" spans="1:5" x14ac:dyDescent="0.2">
      <c r="A15" s="1" t="s">
        <v>49</v>
      </c>
      <c r="B15" s="1">
        <v>31</v>
      </c>
      <c r="D15" s="1" t="s">
        <v>49</v>
      </c>
      <c r="E15" s="1">
        <v>31</v>
      </c>
    </row>
    <row r="16" spans="1:5" x14ac:dyDescent="0.2">
      <c r="A16" s="1" t="s">
        <v>50</v>
      </c>
      <c r="B16" s="1">
        <v>11.498059726674541</v>
      </c>
      <c r="D16" s="1" t="s">
        <v>50</v>
      </c>
      <c r="E16" s="1">
        <v>-1.5</v>
      </c>
    </row>
    <row r="17" spans="1:5" x14ac:dyDescent="0.2">
      <c r="A17" s="1" t="s">
        <v>51</v>
      </c>
      <c r="B17" s="1">
        <v>2.8490028490028491E-3</v>
      </c>
      <c r="D17" s="1" t="s">
        <v>51</v>
      </c>
      <c r="E17" s="1">
        <v>-17.899999999999999</v>
      </c>
    </row>
    <row r="18" spans="1:5" ht="15" thickBot="1" x14ac:dyDescent="0.25">
      <c r="A18" s="2" t="s">
        <v>52</v>
      </c>
      <c r="B18" s="2">
        <v>0.74900770822076468</v>
      </c>
      <c r="D18" s="2" t="s">
        <v>52</v>
      </c>
      <c r="E18" s="2">
        <v>0.97763871913338762</v>
      </c>
    </row>
    <row r="25" spans="1:5" x14ac:dyDescent="0.2">
      <c r="C25" t="s">
        <v>57</v>
      </c>
      <c r="D25">
        <v>-0.89111358416494568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2097-1096-46E4-B21B-B9BB75F83D8A}">
  <dimension ref="A1:E25"/>
  <sheetViews>
    <sheetView zoomScaleNormal="100" workbookViewId="0">
      <selection activeCell="C26" sqref="C26"/>
    </sheetView>
  </sheetViews>
  <sheetFormatPr defaultRowHeight="14.25" x14ac:dyDescent="0.2"/>
  <sheetData>
    <row r="1" spans="1:5" x14ac:dyDescent="0.2">
      <c r="A1" s="3" t="s">
        <v>56</v>
      </c>
      <c r="B1" s="3"/>
      <c r="D1" s="3" t="s">
        <v>55</v>
      </c>
      <c r="E1" s="3"/>
    </row>
    <row r="2" spans="1:5" x14ac:dyDescent="0.2">
      <c r="A2" s="1"/>
      <c r="B2" s="1"/>
      <c r="D2" s="1"/>
      <c r="E2" s="1"/>
    </row>
    <row r="3" spans="1:5" x14ac:dyDescent="0.2">
      <c r="A3" s="1" t="s">
        <v>37</v>
      </c>
      <c r="B3" s="1">
        <v>0.15051090553908472</v>
      </c>
      <c r="D3" s="1" t="s">
        <v>37</v>
      </c>
      <c r="E3" s="1">
        <v>-4.8</v>
      </c>
    </row>
    <row r="4" spans="1:5" x14ac:dyDescent="0.2">
      <c r="A4" s="1" t="s">
        <v>38</v>
      </c>
      <c r="B4" s="1">
        <v>2.3452321855699339E-2</v>
      </c>
      <c r="D4" s="1" t="s">
        <v>38</v>
      </c>
      <c r="E4" s="1">
        <v>0.23252734359047153</v>
      </c>
    </row>
    <row r="5" spans="1:5" x14ac:dyDescent="0.2">
      <c r="A5" s="1" t="s">
        <v>39</v>
      </c>
      <c r="B5" s="1">
        <v>0.12805977240075361</v>
      </c>
      <c r="D5" s="1" t="s">
        <v>39</v>
      </c>
      <c r="E5" s="1">
        <v>-5</v>
      </c>
    </row>
    <row r="6" spans="1:5" x14ac:dyDescent="0.2">
      <c r="A6" s="1" t="s">
        <v>40</v>
      </c>
      <c r="B6" s="1" t="e">
        <v>#N/A</v>
      </c>
      <c r="D6" s="1" t="s">
        <v>40</v>
      </c>
      <c r="E6" s="1">
        <v>-4.8</v>
      </c>
    </row>
    <row r="7" spans="1:5" x14ac:dyDescent="0.2">
      <c r="A7" s="1" t="s">
        <v>41</v>
      </c>
      <c r="B7" s="1">
        <v>0.12845365706237946</v>
      </c>
      <c r="D7" s="1" t="s">
        <v>41</v>
      </c>
      <c r="E7" s="1">
        <v>1.2736047132125556</v>
      </c>
    </row>
    <row r="8" spans="1:5" x14ac:dyDescent="0.2">
      <c r="A8" s="1" t="s">
        <v>42</v>
      </c>
      <c r="B8" s="1">
        <v>1.6500342012699391E-2</v>
      </c>
      <c r="D8" s="1" t="s">
        <v>42</v>
      </c>
      <c r="E8" s="1">
        <v>1.6220689655172362</v>
      </c>
    </row>
    <row r="9" spans="1:5" x14ac:dyDescent="0.2">
      <c r="A9" s="1" t="s">
        <v>43</v>
      </c>
      <c r="B9" s="1">
        <v>4.0731275292187465</v>
      </c>
      <c r="D9" s="1" t="s">
        <v>43</v>
      </c>
      <c r="E9" s="1">
        <v>0.98473998240371641</v>
      </c>
    </row>
    <row r="10" spans="1:5" x14ac:dyDescent="0.2">
      <c r="A10" s="1" t="s">
        <v>44</v>
      </c>
      <c r="B10" s="1">
        <v>1.9043744506888016</v>
      </c>
      <c r="D10" s="1" t="s">
        <v>44</v>
      </c>
      <c r="E10" s="1">
        <v>0.73051989864185829</v>
      </c>
    </row>
    <row r="11" spans="1:5" x14ac:dyDescent="0.2">
      <c r="A11" s="1" t="s">
        <v>45</v>
      </c>
      <c r="B11" s="1">
        <v>0.58117076650849309</v>
      </c>
      <c r="D11" s="1" t="s">
        <v>45</v>
      </c>
      <c r="E11" s="1">
        <v>5.6</v>
      </c>
    </row>
    <row r="12" spans="1:5" x14ac:dyDescent="0.2">
      <c r="A12" s="1" t="s">
        <v>46</v>
      </c>
      <c r="B12" s="1">
        <v>2.8490028490028491E-3</v>
      </c>
      <c r="D12" s="1" t="s">
        <v>46</v>
      </c>
      <c r="E12" s="1">
        <v>-7.1</v>
      </c>
    </row>
    <row r="13" spans="1:5" x14ac:dyDescent="0.2">
      <c r="A13" s="1" t="s">
        <v>47</v>
      </c>
      <c r="B13" s="1">
        <v>0.58401976935749589</v>
      </c>
      <c r="D13" s="1" t="s">
        <v>47</v>
      </c>
      <c r="E13" s="1">
        <v>-1.5</v>
      </c>
    </row>
    <row r="14" spans="1:5" x14ac:dyDescent="0.2">
      <c r="A14" s="1" t="s">
        <v>48</v>
      </c>
      <c r="B14" s="1">
        <v>4.5153271661725416</v>
      </c>
      <c r="D14" s="1" t="s">
        <v>48</v>
      </c>
      <c r="E14" s="1">
        <v>-144</v>
      </c>
    </row>
    <row r="15" spans="1:5" x14ac:dyDescent="0.2">
      <c r="A15" s="1" t="s">
        <v>49</v>
      </c>
      <c r="B15" s="1">
        <v>30</v>
      </c>
      <c r="D15" s="1" t="s">
        <v>49</v>
      </c>
      <c r="E15" s="1">
        <v>30</v>
      </c>
    </row>
    <row r="16" spans="1:5" x14ac:dyDescent="0.2">
      <c r="A16" s="1" t="s">
        <v>50</v>
      </c>
      <c r="B16" s="1">
        <v>0.58401976935749589</v>
      </c>
      <c r="D16" s="1" t="s">
        <v>50</v>
      </c>
      <c r="E16" s="1">
        <v>-1.5</v>
      </c>
    </row>
    <row r="17" spans="1:5" x14ac:dyDescent="0.2">
      <c r="A17" s="1" t="s">
        <v>51</v>
      </c>
      <c r="B17" s="1">
        <v>2.8490028490028491E-3</v>
      </c>
      <c r="D17" s="1" t="s">
        <v>51</v>
      </c>
      <c r="E17" s="1">
        <v>-7.1</v>
      </c>
    </row>
    <row r="18" spans="1:5" ht="15" thickBot="1" x14ac:dyDescent="0.25">
      <c r="A18" s="2" t="s">
        <v>52</v>
      </c>
      <c r="B18" s="2">
        <v>4.7965383836112936E-2</v>
      </c>
      <c r="D18" s="2" t="s">
        <v>52</v>
      </c>
      <c r="E18" s="2">
        <v>0.47557181571760826</v>
      </c>
    </row>
    <row r="25" spans="1:5" x14ac:dyDescent="0.2">
      <c r="C25" t="s">
        <v>57</v>
      </c>
      <c r="D25">
        <v>-0.3454887170008083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舍弃离群值的数据</vt:lpstr>
      <vt:lpstr>原始数据分析</vt:lpstr>
      <vt:lpstr>舍弃离群值的数据分析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顾远飞</dc:creator>
  <cp:lastModifiedBy>顾远飞</cp:lastModifiedBy>
  <dcterms:created xsi:type="dcterms:W3CDTF">2020-12-16T07:26:29Z</dcterms:created>
  <dcterms:modified xsi:type="dcterms:W3CDTF">2020-12-16T16:51:01Z</dcterms:modified>
</cp:coreProperties>
</file>